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ui_Olv\Documents\Planilhas_Fe\"/>
    </mc:Choice>
  </mc:AlternateContent>
  <xr:revisionPtr revIDLastSave="0" documentId="13_ncr:1_{00629AF1-221C-44C2-8FAA-D1600A036AD5}" xr6:coauthVersionLast="47" xr6:coauthVersionMax="47" xr10:uidLastSave="{00000000-0000-0000-0000-000000000000}"/>
  <bookViews>
    <workbookView xWindow="-120" yWindow="-120" windowWidth="20730" windowHeight="11160" xr2:uid="{6E1AF89F-3529-4829-8012-CE31C919D78E}"/>
  </bookViews>
  <sheets>
    <sheet name="PI" sheetId="1" r:id="rId1"/>
    <sheet name="Clientes" sheetId="3" r:id="rId2"/>
    <sheet name="Serviços" sheetId="2" r:id="rId3"/>
  </sheets>
  <definedNames>
    <definedName name="_xlnm.Print_Area" localSheetId="0">PI!$A$1:$J$47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2" i="1" l="1"/>
  <c r="E26" i="1"/>
  <c r="H17" i="1"/>
  <c r="A18" i="1"/>
  <c r="A17" i="1"/>
  <c r="H15" i="1"/>
  <c r="H14" i="1"/>
  <c r="H13" i="1"/>
  <c r="H12" i="1"/>
  <c r="A15" i="1"/>
  <c r="A14" i="1"/>
  <c r="A13" i="1"/>
  <c r="A12" i="1"/>
  <c r="A11" i="1"/>
  <c r="A10" i="1"/>
  <c r="F24" i="1"/>
  <c r="A41" i="1"/>
  <c r="J26" i="1" l="1"/>
  <c r="E25" i="1"/>
  <c r="F22" i="1"/>
  <c r="H22" i="1" s="1"/>
  <c r="I22" i="1" s="1"/>
  <c r="E27" i="1"/>
  <c r="J24" i="1"/>
  <c r="F26" i="1"/>
  <c r="H26" i="1" s="1"/>
  <c r="I26" i="1" s="1"/>
  <c r="E23" i="1"/>
  <c r="J25" i="1"/>
  <c r="F27" i="1"/>
  <c r="F23" i="1"/>
  <c r="H23" i="1" s="1"/>
  <c r="E24" i="1"/>
  <c r="J27" i="1"/>
  <c r="J23" i="1"/>
  <c r="F25" i="1"/>
  <c r="H25" i="1" s="1"/>
  <c r="I25" i="1" s="1"/>
  <c r="J22" i="1"/>
  <c r="H24" i="1"/>
  <c r="H27" i="1"/>
  <c r="I27" i="1" s="1"/>
  <c r="J28" i="1" l="1"/>
  <c r="I24" i="1"/>
  <c r="I23" i="1"/>
  <c r="I28" i="1" l="1"/>
  <c r="H29" i="1" s="1"/>
</calcChain>
</file>

<file path=xl/sharedStrings.xml><?xml version="1.0" encoding="utf-8"?>
<sst xmlns="http://schemas.openxmlformats.org/spreadsheetml/2006/main" count="158" uniqueCount="106">
  <si>
    <t>CONTRATADA</t>
  </si>
  <si>
    <t>Cidade: Rio de Janeiro</t>
  </si>
  <si>
    <t>CONTRATANTE</t>
  </si>
  <si>
    <t>Mídia</t>
  </si>
  <si>
    <t>QTD</t>
  </si>
  <si>
    <t>Período</t>
  </si>
  <si>
    <t>Tabela</t>
  </si>
  <si>
    <t xml:space="preserve"> Custo de Produção</t>
  </si>
  <si>
    <t>Valor
 Negociado</t>
  </si>
  <si>
    <t>Custo Total da Campanha:</t>
  </si>
  <si>
    <t>Campanha:</t>
  </si>
  <si>
    <t>Início:</t>
  </si>
  <si>
    <t>Termino:</t>
  </si>
  <si>
    <t>Forma de Pagamento</t>
  </si>
  <si>
    <t>Dados Bancários</t>
  </si>
  <si>
    <t>RJ</t>
  </si>
  <si>
    <t>(21)972316945</t>
  </si>
  <si>
    <t>Estado: RJ</t>
  </si>
  <si>
    <t>RESPONSÁVEL FINANCEIRO</t>
  </si>
  <si>
    <t>DESCRIÇÃO</t>
  </si>
  <si>
    <t>FORMATO</t>
  </si>
  <si>
    <t>PERÍODO</t>
  </si>
  <si>
    <t xml:space="preserve"> VALOR TABELA </t>
  </si>
  <si>
    <t xml:space="preserve"> PRODUÇÃO </t>
  </si>
  <si>
    <t>Plural</t>
  </si>
  <si>
    <t>Nome fantasia</t>
  </si>
  <si>
    <t>Razão social</t>
  </si>
  <si>
    <t>CPF/CNPJ</t>
  </si>
  <si>
    <t>email</t>
  </si>
  <si>
    <t>endereço</t>
  </si>
  <si>
    <t>CEP</t>
  </si>
  <si>
    <t>UF</t>
  </si>
  <si>
    <t>Cidade</t>
  </si>
  <si>
    <t>Resp. Financeiro</t>
  </si>
  <si>
    <t>Email Resp Financeiro</t>
  </si>
  <si>
    <t>Tel Resp Financeiro</t>
  </si>
  <si>
    <t>Responsável</t>
  </si>
  <si>
    <t>Rio de janeiro</t>
  </si>
  <si>
    <t>Telefone</t>
  </si>
  <si>
    <t>Carregar Cliente</t>
  </si>
  <si>
    <t>Nome Fantasia:</t>
  </si>
  <si>
    <t>Desc
(%)</t>
  </si>
  <si>
    <t>Insc. Estadual:  Isento</t>
  </si>
  <si>
    <t>Custo 
Unitário</t>
  </si>
  <si>
    <t>Total</t>
  </si>
  <si>
    <t>OBS</t>
  </si>
  <si>
    <t>Meses</t>
  </si>
  <si>
    <t>Dias</t>
  </si>
  <si>
    <t>Milheiros</t>
  </si>
  <si>
    <t>Mês</t>
  </si>
  <si>
    <t>Dia</t>
  </si>
  <si>
    <t>Milheiro</t>
  </si>
  <si>
    <t>3149-0228</t>
  </si>
  <si>
    <t>15 dias</t>
  </si>
  <si>
    <t>98235-2626</t>
  </si>
  <si>
    <t xml:space="preserve"> 21 992107133</t>
  </si>
  <si>
    <t>mês</t>
  </si>
  <si>
    <t>meses</t>
  </si>
  <si>
    <t>Serviço  1</t>
  </si>
  <si>
    <t>Serviço  2</t>
  </si>
  <si>
    <t>Serviço  3</t>
  </si>
  <si>
    <t>Serviço  4</t>
  </si>
  <si>
    <t>Serviço  5</t>
  </si>
  <si>
    <t>Serviço  6</t>
  </si>
  <si>
    <t>Serviço  7</t>
  </si>
  <si>
    <t>Serviço  8</t>
  </si>
  <si>
    <t>Serviço  9</t>
  </si>
  <si>
    <t>Serviço  10</t>
  </si>
  <si>
    <t>Serviço  11</t>
  </si>
  <si>
    <t>Serviço  12</t>
  </si>
  <si>
    <t>Serviço  13</t>
  </si>
  <si>
    <t>Serviço  14</t>
  </si>
  <si>
    <t>Serviço  15</t>
  </si>
  <si>
    <t>Serviço  16</t>
  </si>
  <si>
    <t>Serviço  17</t>
  </si>
  <si>
    <t>Serviço  18</t>
  </si>
  <si>
    <t>Serviço  19</t>
  </si>
  <si>
    <t>Serviço  20</t>
  </si>
  <si>
    <t>Serviço  21</t>
  </si>
  <si>
    <t>Serviço  22</t>
  </si>
  <si>
    <t>Serviço  23</t>
  </si>
  <si>
    <t>Serviço  24</t>
  </si>
  <si>
    <t>Serviço  25</t>
  </si>
  <si>
    <t>Serviço  26</t>
  </si>
  <si>
    <t>Serviço  27</t>
  </si>
  <si>
    <t>Serviço  28</t>
  </si>
  <si>
    <t>Guilherme</t>
  </si>
  <si>
    <t>Oliveira</t>
  </si>
  <si>
    <t>Souza</t>
  </si>
  <si>
    <t>Guilherme LTDA</t>
  </si>
  <si>
    <t>Oliveira LTDA</t>
  </si>
  <si>
    <t>Souza LTDA</t>
  </si>
  <si>
    <t>Guilherme@com.br</t>
  </si>
  <si>
    <t>Av.abc</t>
  </si>
  <si>
    <t>guilherme</t>
  </si>
  <si>
    <t>0000-1111</t>
  </si>
  <si>
    <t>guilherme@.com.br</t>
  </si>
  <si>
    <t>Banco : ITAÚ
Agência :0000
Conta Corrente: 00000</t>
  </si>
  <si>
    <t>Caso material para a publicação seja criado pelo Grupo ABC, o cliente se compromete a enviar a sua logomarga em alta qualidade e um briefing para criação do anuncio.</t>
  </si>
  <si>
    <t>Razão Social: GRUPO ABC</t>
  </si>
  <si>
    <t>CNPJ: 1111111/021</t>
  </si>
  <si>
    <t>Endereço:  AV ABC</t>
  </si>
  <si>
    <t>Email:  guilheme@com.br</t>
  </si>
  <si>
    <t>Insc. Municipal: 11221125</t>
  </si>
  <si>
    <t>Tel:  (21) 0000-1111</t>
  </si>
  <si>
    <t>Executivo: Guilherme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</si>
</sst>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u/>
      <sz val="11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0"/>
      <name val="Arial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36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0" xfId="0" applyBorder="1" applyAlignment="1">
      <alignment wrapText="1"/>
    </xf>
    <xf numFmtId="0" fontId="0" fillId="0" borderId="4" xfId="0" applyBorder="1"/>
    <xf numFmtId="0" fontId="10" fillId="0" borderId="0" xfId="0" applyFont="1" applyBorder="1"/>
    <xf numFmtId="8" fontId="0" fillId="0" borderId="0" xfId="0" applyNumberFormat="1"/>
    <xf numFmtId="0" fontId="0" fillId="0" borderId="0" xfId="0" applyAlignment="1">
      <alignment horizontal="left" vertical="center"/>
    </xf>
    <xf numFmtId="0" fontId="12" fillId="0" borderId="0" xfId="3" applyAlignment="1">
      <alignment horizontal="left" vertical="center"/>
    </xf>
    <xf numFmtId="0" fontId="0" fillId="0" borderId="0" xfId="0" applyAlignment="1">
      <alignment horizontal="left" vertical="center" wrapText="1"/>
    </xf>
    <xf numFmtId="0" fontId="4" fillId="0" borderId="7" xfId="0" applyFont="1" applyBorder="1" applyAlignment="1" applyProtection="1">
      <alignment horizontal="left"/>
    </xf>
    <xf numFmtId="44" fontId="4" fillId="0" borderId="9" xfId="1" applyFont="1" applyBorder="1" applyAlignment="1" applyProtection="1"/>
    <xf numFmtId="44" fontId="3" fillId="0" borderId="0" xfId="0" applyNumberFormat="1" applyFont="1" applyBorder="1" applyProtection="1"/>
    <xf numFmtId="0" fontId="4" fillId="0" borderId="8" xfId="0" applyFont="1" applyBorder="1" applyAlignment="1" applyProtection="1">
      <alignment horizontal="right"/>
      <protection locked="0"/>
    </xf>
    <xf numFmtId="0" fontId="4" fillId="0" borderId="8" xfId="0" applyFont="1" applyBorder="1" applyAlignment="1" applyProtection="1">
      <alignment vertical="center"/>
    </xf>
    <xf numFmtId="0" fontId="4" fillId="0" borderId="7" xfId="0" applyFont="1" applyBorder="1" applyAlignment="1" applyProtection="1">
      <alignment horizontal="left" vertical="center"/>
    </xf>
    <xf numFmtId="0" fontId="4" fillId="0" borderId="2" xfId="0" applyFont="1" applyBorder="1" applyAlignment="1" applyProtection="1">
      <alignment horizontal="left" vertical="center" wrapText="1"/>
    </xf>
    <xf numFmtId="0" fontId="0" fillId="0" borderId="10" xfId="0" applyBorder="1" applyProtection="1">
      <protection locked="0"/>
    </xf>
    <xf numFmtId="0" fontId="4" fillId="0" borderId="9" xfId="0" applyFont="1" applyBorder="1" applyAlignment="1" applyProtection="1">
      <alignment horizontal="center"/>
      <protection locked="0"/>
    </xf>
    <xf numFmtId="9" fontId="4" fillId="0" borderId="9" xfId="2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0" borderId="2" xfId="0" applyFont="1" applyBorder="1" applyAlignment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Alignment="1" applyProtection="1">
      <alignment vertical="top" wrapText="1"/>
      <protection locked="0"/>
    </xf>
    <xf numFmtId="0" fontId="0" fillId="0" borderId="10" xfId="0" applyBorder="1" applyAlignment="1" applyProtection="1">
      <alignment vertical="top" wrapText="1"/>
      <protection locked="0"/>
    </xf>
    <xf numFmtId="0" fontId="0" fillId="0" borderId="12" xfId="0" applyBorder="1" applyAlignment="1" applyProtection="1">
      <alignment vertical="top" wrapText="1"/>
      <protection locked="0"/>
    </xf>
    <xf numFmtId="0" fontId="0" fillId="0" borderId="4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5" xfId="0" applyBorder="1" applyProtection="1">
      <protection locked="0"/>
    </xf>
    <xf numFmtId="0" fontId="7" fillId="0" borderId="0" xfId="0" applyFont="1" applyBorder="1" applyAlignment="1" applyProtection="1">
      <alignment vertical="center" wrapText="1"/>
      <protection locked="0"/>
    </xf>
    <xf numFmtId="0" fontId="7" fillId="0" borderId="5" xfId="0" applyFont="1" applyBorder="1" applyAlignment="1" applyProtection="1">
      <alignment vertical="center" wrapText="1"/>
      <protection locked="0"/>
    </xf>
    <xf numFmtId="0" fontId="13" fillId="0" borderId="5" xfId="0" applyFont="1" applyBorder="1" applyAlignment="1" applyProtection="1">
      <alignment vertical="center" wrapText="1"/>
      <protection locked="0"/>
    </xf>
    <xf numFmtId="0" fontId="0" fillId="0" borderId="11" xfId="0" applyBorder="1" applyProtection="1">
      <protection locked="0"/>
    </xf>
    <xf numFmtId="0" fontId="7" fillId="0" borderId="10" xfId="0" applyFont="1" applyBorder="1" applyAlignment="1" applyProtection="1">
      <alignment vertical="center" wrapText="1"/>
      <protection locked="0"/>
    </xf>
    <xf numFmtId="0" fontId="7" fillId="0" borderId="12" xfId="0" applyFont="1" applyBorder="1" applyAlignment="1" applyProtection="1">
      <alignment vertical="center" wrapText="1"/>
      <protection locked="0"/>
    </xf>
    <xf numFmtId="0" fontId="4" fillId="0" borderId="0" xfId="0" applyFont="1" applyBorder="1" applyAlignment="1" applyProtection="1">
      <alignment horizontal="left" vertical="center"/>
    </xf>
    <xf numFmtId="0" fontId="4" fillId="0" borderId="2" xfId="0" applyFont="1" applyBorder="1" applyAlignment="1" applyProtection="1">
      <alignment horizontal="left" vertical="center"/>
    </xf>
    <xf numFmtId="0" fontId="4" fillId="0" borderId="3" xfId="0" applyFont="1" applyBorder="1" applyAlignment="1" applyProtection="1">
      <alignment horizontal="left" vertical="center"/>
    </xf>
    <xf numFmtId="0" fontId="0" fillId="0" borderId="6" xfId="0" applyBorder="1" applyProtection="1"/>
    <xf numFmtId="0" fontId="4" fillId="0" borderId="6" xfId="0" applyFont="1" applyBorder="1" applyAlignment="1" applyProtection="1">
      <alignment horizontal="left"/>
    </xf>
    <xf numFmtId="0" fontId="4" fillId="0" borderId="7" xfId="0" applyFont="1" applyBorder="1" applyAlignment="1" applyProtection="1">
      <alignment horizontal="left" wrapText="1"/>
    </xf>
    <xf numFmtId="0" fontId="4" fillId="0" borderId="6" xfId="0" applyFont="1" applyBorder="1" applyAlignment="1" applyProtection="1"/>
    <xf numFmtId="0" fontId="0" fillId="0" borderId="10" xfId="0" applyBorder="1" applyProtection="1"/>
    <xf numFmtId="0" fontId="4" fillId="0" borderId="7" xfId="0" applyFont="1" applyBorder="1" applyAlignment="1" applyProtection="1"/>
    <xf numFmtId="0" fontId="4" fillId="0" borderId="8" xfId="0" applyFont="1" applyBorder="1" applyAlignment="1" applyProtection="1"/>
    <xf numFmtId="0" fontId="3" fillId="0" borderId="1" xfId="0" applyFont="1" applyBorder="1" applyAlignment="1" applyProtection="1">
      <alignment vertical="center"/>
    </xf>
    <xf numFmtId="0" fontId="4" fillId="0" borderId="2" xfId="0" applyFont="1" applyBorder="1" applyAlignment="1" applyProtection="1"/>
    <xf numFmtId="0" fontId="4" fillId="0" borderId="2" xfId="0" applyFont="1" applyBorder="1" applyAlignment="1" applyProtection="1">
      <alignment wrapText="1"/>
    </xf>
    <xf numFmtId="0" fontId="4" fillId="0" borderId="3" xfId="0" applyFont="1" applyBorder="1" applyAlignment="1" applyProtection="1"/>
    <xf numFmtId="0" fontId="4" fillId="0" borderId="6" xfId="0" applyFont="1" applyBorder="1" applyAlignment="1" applyProtection="1">
      <alignment horizontal="left"/>
    </xf>
    <xf numFmtId="0" fontId="4" fillId="0" borderId="0" xfId="0" applyFont="1" applyBorder="1" applyAlignment="1" applyProtection="1"/>
    <xf numFmtId="44" fontId="0" fillId="0" borderId="0" xfId="0" applyNumberFormat="1" applyBorder="1"/>
    <xf numFmtId="44" fontId="3" fillId="0" borderId="7" xfId="0" applyNumberFormat="1" applyFont="1" applyBorder="1" applyAlignment="1" applyProtection="1">
      <alignment wrapText="1"/>
    </xf>
    <xf numFmtId="44" fontId="3" fillId="0" borderId="9" xfId="0" applyNumberFormat="1" applyFont="1" applyBorder="1" applyProtection="1"/>
    <xf numFmtId="44" fontId="0" fillId="0" borderId="0" xfId="1" applyFont="1"/>
    <xf numFmtId="14" fontId="2" fillId="0" borderId="7" xfId="0" applyNumberFormat="1" applyFont="1" applyBorder="1" applyAlignment="1" applyProtection="1">
      <alignment horizontal="left" vertical="top" wrapText="1"/>
      <protection locked="0"/>
    </xf>
    <xf numFmtId="44" fontId="0" fillId="0" borderId="9" xfId="1" applyFont="1" applyBorder="1" applyAlignment="1" applyProtection="1">
      <alignment wrapText="1"/>
    </xf>
    <xf numFmtId="0" fontId="2" fillId="0" borderId="1" xfId="0" applyFont="1" applyBorder="1" applyAlignment="1" applyProtection="1">
      <alignment horizontal="left"/>
    </xf>
    <xf numFmtId="0" fontId="2" fillId="0" borderId="8" xfId="0" applyFont="1" applyBorder="1" applyAlignment="1" applyProtection="1">
      <alignment horizontal="left" vertical="top" wrapText="1"/>
    </xf>
    <xf numFmtId="0" fontId="2" fillId="0" borderId="6" xfId="0" applyFont="1" applyBorder="1" applyAlignment="1" applyProtection="1">
      <alignment horizontal="right" vertical="top" wrapText="1"/>
    </xf>
    <xf numFmtId="0" fontId="5" fillId="2" borderId="4" xfId="0" applyFont="1" applyFill="1" applyBorder="1" applyAlignment="1" applyProtection="1">
      <alignment horizontal="center"/>
    </xf>
    <xf numFmtId="0" fontId="12" fillId="0" borderId="0" xfId="3"/>
    <xf numFmtId="0" fontId="4" fillId="0" borderId="7" xfId="0" applyFont="1" applyBorder="1" applyAlignment="1" applyProtection="1">
      <alignment horizontal="left"/>
    </xf>
    <xf numFmtId="0" fontId="5" fillId="2" borderId="8" xfId="0" applyFont="1" applyFill="1" applyBorder="1" applyAlignment="1" applyProtection="1">
      <alignment horizontal="center" vertical="center"/>
    </xf>
    <xf numFmtId="0" fontId="5" fillId="2" borderId="6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left"/>
    </xf>
    <xf numFmtId="0" fontId="4" fillId="0" borderId="6" xfId="0" applyFont="1" applyBorder="1" applyAlignment="1" applyProtection="1">
      <alignment horizontal="left"/>
    </xf>
    <xf numFmtId="0" fontId="4" fillId="0" borderId="7" xfId="0" applyFont="1" applyBorder="1" applyAlignment="1" applyProtection="1">
      <alignment horizontal="left"/>
    </xf>
    <xf numFmtId="0" fontId="4" fillId="0" borderId="8" xfId="0" applyFont="1" applyBorder="1" applyAlignment="1" applyProtection="1">
      <alignment horizontal="left" vertical="center"/>
    </xf>
    <xf numFmtId="0" fontId="4" fillId="0" borderId="6" xfId="0" applyFont="1" applyBorder="1" applyAlignment="1" applyProtection="1">
      <alignment horizontal="left" vertical="center"/>
    </xf>
    <xf numFmtId="0" fontId="4" fillId="0" borderId="7" xfId="0" applyFont="1" applyBorder="1" applyAlignment="1" applyProtection="1">
      <alignment horizontal="left" vertical="center"/>
    </xf>
    <xf numFmtId="0" fontId="4" fillId="0" borderId="6" xfId="0" applyFont="1" applyBorder="1" applyAlignment="1" applyProtection="1">
      <alignment horizontal="left"/>
      <protection locked="0"/>
    </xf>
    <xf numFmtId="0" fontId="4" fillId="0" borderId="7" xfId="0" applyFont="1" applyBorder="1" applyAlignment="1" applyProtection="1">
      <alignment horizontal="left"/>
      <protection locked="0"/>
    </xf>
    <xf numFmtId="0" fontId="4" fillId="0" borderId="8" xfId="0" applyFont="1" applyFill="1" applyBorder="1" applyAlignment="1" applyProtection="1">
      <alignment horizontal="left" vertical="center"/>
    </xf>
    <xf numFmtId="0" fontId="4" fillId="0" borderId="6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center" vertical="center"/>
    </xf>
    <xf numFmtId="0" fontId="9" fillId="0" borderId="4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0" fontId="11" fillId="0" borderId="4" xfId="0" applyFont="1" applyBorder="1" applyAlignment="1" applyProtection="1">
      <alignment horizontal="left" vertical="center" indent="4"/>
    </xf>
    <xf numFmtId="0" fontId="11" fillId="0" borderId="0" xfId="0" applyFont="1" applyBorder="1" applyAlignment="1" applyProtection="1">
      <alignment horizontal="left" vertical="center" indent="4"/>
    </xf>
    <xf numFmtId="0" fontId="11" fillId="0" borderId="5" xfId="0" applyFont="1" applyBorder="1" applyAlignment="1" applyProtection="1">
      <alignment horizontal="left" vertical="center" indent="4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 applyProtection="1">
      <alignment horizontal="center" vertical="center" wrapText="1"/>
      <protection locked="0"/>
    </xf>
    <xf numFmtId="0" fontId="6" fillId="0" borderId="12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0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center" vertical="center" wrapText="1"/>
      <protection locked="0"/>
    </xf>
    <xf numFmtId="0" fontId="9" fillId="0" borderId="12" xfId="0" applyFont="1" applyBorder="1" applyAlignment="1" applyProtection="1">
      <alignment horizontal="center" vertical="center" wrapText="1"/>
      <protection locked="0"/>
    </xf>
    <xf numFmtId="44" fontId="2" fillId="0" borderId="2" xfId="0" applyNumberFormat="1" applyFont="1" applyBorder="1" applyAlignment="1" applyProtection="1">
      <alignment horizontal="center"/>
    </xf>
    <xf numFmtId="44" fontId="2" fillId="0" borderId="3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9" fillId="0" borderId="3" xfId="0" applyFont="1" applyBorder="1" applyAlignment="1" applyProtection="1">
      <alignment horizontal="left" vertical="top" wrapText="1"/>
      <protection locked="0"/>
    </xf>
    <xf numFmtId="0" fontId="9" fillId="0" borderId="11" xfId="0" applyFont="1" applyBorder="1" applyAlignment="1" applyProtection="1">
      <alignment horizontal="left" vertical="top" wrapText="1"/>
      <protection locked="0"/>
    </xf>
    <xf numFmtId="0" fontId="9" fillId="0" borderId="10" xfId="0" applyFont="1" applyBorder="1" applyAlignment="1" applyProtection="1">
      <alignment horizontal="left" vertical="top" wrapText="1"/>
      <protection locked="0"/>
    </xf>
    <xf numFmtId="0" fontId="9" fillId="0" borderId="12" xfId="0" applyFont="1" applyBorder="1" applyAlignment="1" applyProtection="1">
      <alignment horizontal="left" vertical="top" wrapText="1"/>
      <protection locked="0"/>
    </xf>
    <xf numFmtId="0" fontId="5" fillId="2" borderId="6" xfId="0" applyFont="1" applyFill="1" applyBorder="1" applyAlignment="1" applyProtection="1">
      <alignment horizontal="center" vertical="center"/>
      <protection locked="0"/>
    </xf>
    <xf numFmtId="0" fontId="5" fillId="2" borderId="7" xfId="0" applyFont="1" applyFill="1" applyBorder="1" applyAlignment="1" applyProtection="1">
      <alignment horizontal="center" vertical="center"/>
      <protection locked="0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top" wrapText="1"/>
      <protection locked="0"/>
    </xf>
    <xf numFmtId="0" fontId="2" fillId="0" borderId="0" xfId="0" applyFont="1" applyBorder="1" applyAlignment="1">
      <alignment horizontal="center"/>
    </xf>
    <xf numFmtId="0" fontId="2" fillId="3" borderId="0" xfId="0" applyFont="1" applyFill="1" applyBorder="1" applyAlignment="1" applyProtection="1">
      <alignment horizontal="center"/>
      <protection locked="0"/>
    </xf>
    <xf numFmtId="0" fontId="14" fillId="0" borderId="0" xfId="0" applyFont="1" applyBorder="1" applyAlignment="1">
      <alignment horizontal="center"/>
    </xf>
    <xf numFmtId="0" fontId="5" fillId="2" borderId="4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5" fillId="2" borderId="5" xfId="0" applyFont="1" applyFill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44" fontId="9" fillId="0" borderId="2" xfId="1" applyFont="1" applyBorder="1" applyAlignment="1" applyProtection="1">
      <alignment horizontal="center" vertical="center" wrapText="1"/>
    </xf>
    <xf numFmtId="44" fontId="9" fillId="0" borderId="10" xfId="1" applyFont="1" applyBorder="1" applyAlignment="1" applyProtection="1">
      <alignment horizontal="center" vertical="center" wrapText="1"/>
    </xf>
    <xf numFmtId="44" fontId="9" fillId="0" borderId="0" xfId="1" applyFont="1" applyBorder="1" applyAlignment="1">
      <alignment horizontal="center" vertical="center" wrapText="1"/>
    </xf>
    <xf numFmtId="14" fontId="2" fillId="0" borderId="6" xfId="0" applyNumberFormat="1" applyFont="1" applyBorder="1" applyAlignment="1" applyProtection="1">
      <alignment horizontal="left" vertical="top" wrapText="1"/>
      <protection locked="0"/>
    </xf>
    <xf numFmtId="0" fontId="9" fillId="0" borderId="0" xfId="0" applyFont="1" applyBorder="1" applyAlignment="1" applyProtection="1">
      <alignment horizontal="center" vertical="center" wrapText="1"/>
    </xf>
    <xf numFmtId="0" fontId="9" fillId="0" borderId="5" xfId="0" applyFont="1" applyBorder="1" applyAlignment="1" applyProtection="1">
      <alignment horizontal="center" vertical="center" wrapText="1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2">
    <dxf>
      <numFmt numFmtId="12" formatCode="&quot;R$&quot;\ #,##0.00;[Red]\-&quot;R$&quot;\ #,##0.00"/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80010</xdr:colOff>
      <xdr:row>0</xdr:row>
      <xdr:rowOff>217170</xdr:rowOff>
    </xdr:from>
    <xdr:to>
      <xdr:col>10</xdr:col>
      <xdr:colOff>0</xdr:colOff>
      <xdr:row>0</xdr:row>
      <xdr:rowOff>529590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5608EE3-2A28-4871-B5FB-B650AE95BC70}"/>
            </a:ext>
          </a:extLst>
        </xdr:cNvPr>
        <xdr:cNvSpPr txBox="1"/>
      </xdr:nvSpPr>
      <xdr:spPr>
        <a:xfrm>
          <a:off x="3128010" y="217170"/>
          <a:ext cx="2855595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pt-BR" sz="1600" b="1" baseline="0">
              <a:solidFill>
                <a:schemeClr val="tx1">
                  <a:lumMod val="50000"/>
                  <a:lumOff val="50000"/>
                </a:schemeClr>
              </a:solidFill>
            </a:rPr>
            <a:t>PEDIDO DE INSERÇÃO </a:t>
          </a:r>
          <a:endParaRPr lang="pt-BR" sz="16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312420</xdr:colOff>
      <xdr:row>43</xdr:row>
      <xdr:rowOff>181841</xdr:rowOff>
    </xdr:from>
    <xdr:to>
      <xdr:col>5</xdr:col>
      <xdr:colOff>51954</xdr:colOff>
      <xdr:row>44</xdr:row>
      <xdr:rowOff>7620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891AE793-B03D-49BE-851D-CA5FA3F176AD}"/>
            </a:ext>
          </a:extLst>
        </xdr:cNvPr>
        <xdr:cNvCxnSpPr/>
      </xdr:nvCxnSpPr>
      <xdr:spPr>
        <a:xfrm flipV="1">
          <a:off x="312420" y="8892886"/>
          <a:ext cx="1904307" cy="162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701387</xdr:colOff>
      <xdr:row>43</xdr:row>
      <xdr:rowOff>164523</xdr:rowOff>
    </xdr:from>
    <xdr:to>
      <xdr:col>9</xdr:col>
      <xdr:colOff>233796</xdr:colOff>
      <xdr:row>43</xdr:row>
      <xdr:rowOff>164524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5C4C02AE-A094-4002-80EA-F6FA68048860}"/>
            </a:ext>
          </a:extLst>
        </xdr:cNvPr>
        <xdr:cNvCxnSpPr/>
      </xdr:nvCxnSpPr>
      <xdr:spPr>
        <a:xfrm>
          <a:off x="2866160" y="8875568"/>
          <a:ext cx="2667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813818</xdr:colOff>
      <xdr:row>44</xdr:row>
      <xdr:rowOff>89708</xdr:rowOff>
    </xdr:from>
    <xdr:to>
      <xdr:col>4</xdr:col>
      <xdr:colOff>329045</xdr:colOff>
      <xdr:row>45</xdr:row>
      <xdr:rowOff>150668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D24796B4-2E7F-41FF-85C1-CB0E62D1F73B}"/>
            </a:ext>
          </a:extLst>
        </xdr:cNvPr>
        <xdr:cNvSpPr txBox="1"/>
      </xdr:nvSpPr>
      <xdr:spPr>
        <a:xfrm>
          <a:off x="813818" y="8991253"/>
          <a:ext cx="995932" cy="251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Contratante</a:t>
          </a:r>
        </a:p>
      </xdr:txBody>
    </xdr:sp>
    <xdr:clientData/>
  </xdr:twoCellAnchor>
  <xdr:twoCellAnchor>
    <xdr:from>
      <xdr:col>5</xdr:col>
      <xdr:colOff>468630</xdr:colOff>
      <xdr:row>44</xdr:row>
      <xdr:rowOff>32385</xdr:rowOff>
    </xdr:from>
    <xdr:to>
      <xdr:col>9</xdr:col>
      <xdr:colOff>291465</xdr:colOff>
      <xdr:row>46</xdr:row>
      <xdr:rowOff>110490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319EB5B0-7C37-464F-9019-5564EDA2C8A3}"/>
            </a:ext>
          </a:extLst>
        </xdr:cNvPr>
        <xdr:cNvSpPr txBox="1"/>
      </xdr:nvSpPr>
      <xdr:spPr>
        <a:xfrm>
          <a:off x="3661410" y="8841105"/>
          <a:ext cx="1925955" cy="4591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Grupo ABC Publicidade e</a:t>
          </a:r>
        </a:p>
        <a:p>
          <a:pPr algn="ctr"/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 Propaganda LTDA</a:t>
          </a:r>
        </a:p>
      </xdr:txBody>
    </xdr:sp>
    <xdr:clientData/>
  </xdr:twoCellAnchor>
  <xdr:oneCellAnchor>
    <xdr:from>
      <xdr:col>0</xdr:col>
      <xdr:colOff>409575</xdr:colOff>
      <xdr:row>0</xdr:row>
      <xdr:rowOff>57150</xdr:rowOff>
    </xdr:from>
    <xdr:ext cx="1943100" cy="504825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A43F9FD-6F84-03EE-D404-E36C6678EA3E}"/>
            </a:ext>
          </a:extLst>
        </xdr:cNvPr>
        <xdr:cNvSpPr/>
      </xdr:nvSpPr>
      <xdr:spPr>
        <a:xfrm>
          <a:off x="409575" y="57150"/>
          <a:ext cx="1943100" cy="5048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6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LOGO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287655</xdr:colOff>
      <xdr:row>0</xdr:row>
      <xdr:rowOff>80010</xdr:rowOff>
    </xdr:from>
    <xdr:to>
      <xdr:col>7</xdr:col>
      <xdr:colOff>148590</xdr:colOff>
      <xdr:row>2</xdr:row>
      <xdr:rowOff>123825</xdr:rowOff>
    </xdr:to>
    <xdr:sp macro="[0]!Módulo1.atualizarMidi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9B6B49D-787D-4FB1-68A6-30DB9A03084E}"/>
            </a:ext>
          </a:extLst>
        </xdr:cNvPr>
        <xdr:cNvSpPr/>
      </xdr:nvSpPr>
      <xdr:spPr>
        <a:xfrm>
          <a:off x="5690235" y="80010"/>
          <a:ext cx="1080135" cy="42481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Atualizar</a:t>
          </a:r>
          <a:endParaRPr lang="pt-BR" sz="1800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9038C9-FDEF-4004-A36C-2F439F600B03}" name="Tabela2" displayName="Tabela2" ref="A1:M1048576" totalsRowShown="0">
  <autoFilter ref="A1:M1048576" xr:uid="{AC9038C9-FDEF-4004-A36C-2F439F600B03}"/>
  <tableColumns count="13">
    <tableColumn id="1" xr3:uid="{ED2EB961-C0C4-484F-A3CF-251CDA6D7120}" name="Nome fantasia"/>
    <tableColumn id="2" xr3:uid="{FF06957C-A1CD-422C-82D3-B54568744B61}" name="Razão social"/>
    <tableColumn id="3" xr3:uid="{3A36FD88-8253-4C5E-850C-3F691B647E6C}" name="CPF/CNPJ"/>
    <tableColumn id="4" xr3:uid="{AB77DA2F-8247-4CC5-81EB-3C2B44B30BB4}" name="email"/>
    <tableColumn id="5" xr3:uid="{6BE8434D-F53C-4CC3-B754-5225A186FD0A}" name="endereço"/>
    <tableColumn id="6" xr3:uid="{8243DD88-A589-47FB-B31D-060CF1E53245}" name="Responsável"/>
    <tableColumn id="7" xr3:uid="{CED05865-E796-40B6-8FE5-E69DA699D00A}" name="Telefone"/>
    <tableColumn id="8" xr3:uid="{2268184C-5095-4892-9480-9974F9A40FDD}" name="CEP"/>
    <tableColumn id="9" xr3:uid="{178722DE-302B-4258-8AA9-69E96362FD1A}" name="UF"/>
    <tableColumn id="10" xr3:uid="{BC357738-B372-49FB-BE83-20BC2942A4BA}" name="Cidade"/>
    <tableColumn id="11" xr3:uid="{915562B9-BD3A-428F-841F-3F321D7D20A7}" name="Resp. Financeiro"/>
    <tableColumn id="12" xr3:uid="{34AEEBCF-7E42-4053-8289-DEF1D32F8538}" name="Email Resp Financeiro"/>
    <tableColumn id="13" xr3:uid="{0B029261-8265-4CBA-98B3-F7BAE0FAE59A}" name="Tel Resp Financeir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FCAB64-84B3-484D-BCCA-609A6F3ED5BF}" name="Tabela1" displayName="Tabela1" ref="A1:E32" totalsRowShown="0">
  <autoFilter ref="A1:E32" xr:uid="{A2FCAB64-84B3-484D-BCCA-609A6F3ED5BF}"/>
  <tableColumns count="5">
    <tableColumn id="1" xr3:uid="{64899115-EE7A-40D4-B578-D4C669877E83}" name="FORMATO" dataDxfId="1"/>
    <tableColumn id="2" xr3:uid="{2AB545F3-B38E-4D6F-9912-46F2A7BCF53F}" name="PERÍODO"/>
    <tableColumn id="3" xr3:uid="{1BB47091-B832-4EA7-AB7F-EAAE1D52C34E}" name=" VALOR TABELA " dataDxfId="0"/>
    <tableColumn id="4" xr3:uid="{B482E3B0-F736-48E5-87D5-C244A542D3EB}" name=" PRODUÇÃO " dataCellStyle="Moeda"/>
    <tableColumn id="5" xr3:uid="{D185B60D-4CAD-49B9-A1A8-00DF8E7AFDFA}" name="Plura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guilherme@.com.br" TargetMode="External"/><Relationship Id="rId1" Type="http://schemas.openxmlformats.org/officeDocument/2006/relationships/hyperlink" Target="mailto:Guilherme@com.br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8CB82-5F7D-4054-A4A2-C1D2C41F30F7}">
  <sheetPr codeName="Planilha1"/>
  <dimension ref="A1:T51"/>
  <sheetViews>
    <sheetView showGridLines="0" tabSelected="1" topLeftCell="A34" zoomScaleNormal="100" zoomScaleSheetLayoutView="100" workbookViewId="0">
      <selection activeCell="G23" sqref="G23"/>
    </sheetView>
  </sheetViews>
  <sheetFormatPr defaultRowHeight="15" x14ac:dyDescent="0.25"/>
  <cols>
    <col min="1" max="1" width="12.42578125" style="4" customWidth="1"/>
    <col min="2" max="2" width="2.5703125" style="1" customWidth="1"/>
    <col min="3" max="3" width="3.42578125" style="1" customWidth="1"/>
    <col min="4" max="4" width="2.7109375" style="1" customWidth="1"/>
    <col min="5" max="5" width="7.42578125" style="1" customWidth="1"/>
    <col min="6" max="6" width="13.5703125" style="1" customWidth="1"/>
    <col min="7" max="7" width="5.28515625" style="1" customWidth="1"/>
    <col min="8" max="8" width="13.7109375" style="3" customWidth="1"/>
    <col min="9" max="9" width="16.5703125" style="3" customWidth="1"/>
    <col min="10" max="10" width="13.85546875" style="1" customWidth="1"/>
    <col min="11" max="11" width="8.7109375" style="1" customWidth="1"/>
    <col min="12" max="12" width="17" style="1" bestFit="1" customWidth="1"/>
    <col min="13" max="16384" width="9.140625" style="1"/>
  </cols>
  <sheetData>
    <row r="1" spans="1:20" s="2" customFormat="1" ht="48.75" customHeight="1" x14ac:dyDescent="0.25">
      <c r="A1" s="48"/>
      <c r="B1" s="49"/>
      <c r="C1" s="49"/>
      <c r="D1" s="49"/>
      <c r="E1" s="49"/>
      <c r="F1" s="49"/>
      <c r="G1" s="49"/>
      <c r="H1" s="50"/>
      <c r="I1" s="50"/>
      <c r="J1" s="5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8.75" x14ac:dyDescent="0.3">
      <c r="A2" s="125" t="s">
        <v>0</v>
      </c>
      <c r="B2" s="126"/>
      <c r="C2" s="126"/>
      <c r="D2" s="126"/>
      <c r="E2" s="126"/>
      <c r="F2" s="126"/>
      <c r="G2" s="126"/>
      <c r="H2" s="126"/>
      <c r="I2" s="126"/>
      <c r="J2" s="127"/>
      <c r="L2" s="124" t="s">
        <v>39</v>
      </c>
      <c r="M2" s="124"/>
      <c r="N2" s="124"/>
      <c r="O2" s="124"/>
    </row>
    <row r="3" spans="1:20" x14ac:dyDescent="0.25">
      <c r="A3" s="69" t="s">
        <v>99</v>
      </c>
      <c r="B3" s="70"/>
      <c r="C3" s="70"/>
      <c r="D3" s="70"/>
      <c r="E3" s="70"/>
      <c r="F3" s="70"/>
      <c r="G3" s="70"/>
      <c r="H3" s="70"/>
      <c r="I3" s="70"/>
      <c r="J3" s="71"/>
      <c r="L3" s="122" t="s">
        <v>40</v>
      </c>
      <c r="M3" s="122"/>
      <c r="N3" s="123" t="s">
        <v>86</v>
      </c>
      <c r="O3" s="123"/>
    </row>
    <row r="4" spans="1:20" x14ac:dyDescent="0.25">
      <c r="A4" s="47" t="s">
        <v>100</v>
      </c>
      <c r="B4" s="44"/>
      <c r="C4" s="44"/>
      <c r="D4" s="44"/>
      <c r="E4" s="44"/>
      <c r="F4" s="44"/>
      <c r="G4" s="44"/>
      <c r="H4" s="75" t="s">
        <v>105</v>
      </c>
      <c r="I4" s="75"/>
      <c r="J4" s="76"/>
    </row>
    <row r="5" spans="1:20" x14ac:dyDescent="0.25">
      <c r="A5" s="69" t="s">
        <v>101</v>
      </c>
      <c r="B5" s="70"/>
      <c r="C5" s="70"/>
      <c r="D5" s="70"/>
      <c r="E5" s="70"/>
      <c r="F5" s="70"/>
      <c r="G5" s="70"/>
      <c r="H5" s="70"/>
      <c r="I5" s="70"/>
      <c r="J5" s="71"/>
    </row>
    <row r="6" spans="1:20" x14ac:dyDescent="0.25">
      <c r="A6" s="69" t="s">
        <v>1</v>
      </c>
      <c r="B6" s="70"/>
      <c r="C6" s="70"/>
      <c r="D6" s="70"/>
      <c r="E6" s="70"/>
      <c r="F6" s="70"/>
      <c r="G6" s="41"/>
      <c r="H6" s="42" t="s">
        <v>17</v>
      </c>
      <c r="I6" s="52"/>
      <c r="J6" s="43"/>
    </row>
    <row r="7" spans="1:20" x14ac:dyDescent="0.25">
      <c r="A7" s="69" t="s">
        <v>102</v>
      </c>
      <c r="B7" s="70"/>
      <c r="C7" s="70"/>
      <c r="D7" s="70"/>
      <c r="E7" s="70"/>
      <c r="F7" s="70"/>
      <c r="G7" s="41"/>
      <c r="H7" s="44" t="s">
        <v>104</v>
      </c>
      <c r="I7" s="44"/>
      <c r="J7" s="15"/>
    </row>
    <row r="8" spans="1:20" x14ac:dyDescent="0.25">
      <c r="A8" s="69" t="s">
        <v>103</v>
      </c>
      <c r="B8" s="70"/>
      <c r="C8" s="70"/>
      <c r="D8" s="70"/>
      <c r="E8" s="70"/>
      <c r="F8" s="70"/>
      <c r="G8" s="45"/>
      <c r="H8" s="44" t="s">
        <v>42</v>
      </c>
      <c r="I8" s="44"/>
      <c r="J8" s="46"/>
    </row>
    <row r="9" spans="1:20" x14ac:dyDescent="0.25">
      <c r="A9" s="125" t="s">
        <v>2</v>
      </c>
      <c r="B9" s="126"/>
      <c r="C9" s="126"/>
      <c r="D9" s="126"/>
      <c r="E9" s="126"/>
      <c r="F9" s="126"/>
      <c r="G9" s="126"/>
      <c r="H9" s="126"/>
      <c r="I9" s="126"/>
      <c r="J9" s="127"/>
    </row>
    <row r="10" spans="1:20" x14ac:dyDescent="0.25">
      <c r="A10" s="72" t="str">
        <f>"Razão Social: "&amp;IFERROR(VLOOKUP(N3,Clientes!A:M,2,0),"")</f>
        <v>Razão Social: Guilherme LTDA</v>
      </c>
      <c r="B10" s="73"/>
      <c r="C10" s="73"/>
      <c r="D10" s="73"/>
      <c r="E10" s="73"/>
      <c r="F10" s="73"/>
      <c r="G10" s="73"/>
      <c r="H10" s="73"/>
      <c r="I10" s="73"/>
      <c r="J10" s="74"/>
    </row>
    <row r="11" spans="1:20" x14ac:dyDescent="0.25">
      <c r="A11" s="72" t="str">
        <f>"Nome Fantasia: "&amp;IFERROR(VLOOKUP(N3,Clientes!A:M,1,0),"")</f>
        <v>Nome Fantasia: Guilherme</v>
      </c>
      <c r="B11" s="73"/>
      <c r="C11" s="73"/>
      <c r="D11" s="73"/>
      <c r="E11" s="73"/>
      <c r="F11" s="73"/>
      <c r="G11" s="73"/>
      <c r="H11" s="73"/>
      <c r="I11" s="73"/>
      <c r="J11" s="74"/>
    </row>
    <row r="12" spans="1:20" x14ac:dyDescent="0.25">
      <c r="A12" s="72" t="str">
        <f>"CNPJ/CPF: "&amp;IFERROR(VLOOKUP(N3,Clientes!A:M,3,0),"")</f>
        <v>CNPJ/CPF: 11111111111</v>
      </c>
      <c r="B12" s="73"/>
      <c r="C12" s="73"/>
      <c r="D12" s="73"/>
      <c r="E12" s="73"/>
      <c r="F12" s="73"/>
      <c r="G12" s="73"/>
      <c r="H12" s="70" t="str">
        <f>"Tel: "&amp;IFERROR(VLOOKUP(N3,Clientes!A:M,7,0),"")</f>
        <v>Tel: 0000-1111</v>
      </c>
      <c r="I12" s="70"/>
      <c r="J12" s="71"/>
    </row>
    <row r="13" spans="1:20" x14ac:dyDescent="0.25">
      <c r="A13" s="14" t="str">
        <f>"Email: "&amp;IFERROR(VLOOKUP(N3,Clientes!A:M,4,0),"")</f>
        <v>Email: Guilherme@com.br</v>
      </c>
      <c r="B13" s="53"/>
      <c r="C13" s="53"/>
      <c r="D13" s="53"/>
      <c r="E13" s="53"/>
      <c r="F13" s="53"/>
      <c r="G13" s="53"/>
      <c r="H13" s="128" t="str">
        <f>"CEP: "&amp;IFERROR(VLOOKUP(N3,Clientes!A:M,8,0),"")</f>
        <v>CEP: 2271000</v>
      </c>
      <c r="I13" s="128"/>
      <c r="J13" s="129"/>
    </row>
    <row r="14" spans="1:20" x14ac:dyDescent="0.25">
      <c r="A14" s="72" t="str">
        <f>"Endereço: "&amp;IFERROR(VLOOKUP(N3,Clientes!A:M,5,0),"")</f>
        <v>Endereço: Av.abc</v>
      </c>
      <c r="B14" s="73"/>
      <c r="C14" s="73"/>
      <c r="D14" s="73"/>
      <c r="E14" s="73"/>
      <c r="F14" s="73"/>
      <c r="G14" s="73"/>
      <c r="H14" s="128" t="str">
        <f>"Estado: "&amp;IFERROR(VLOOKUP(N3,Clientes!A:M,9,0),"")</f>
        <v>Estado: RJ</v>
      </c>
      <c r="I14" s="128"/>
      <c r="J14" s="129"/>
    </row>
    <row r="15" spans="1:20" x14ac:dyDescent="0.25">
      <c r="A15" s="72" t="str">
        <f>"Responsável: "&amp;IFERROR(VLOOKUP(N3,Clientes!A:M,6,0),"")</f>
        <v>Responsável: guilherme</v>
      </c>
      <c r="B15" s="73"/>
      <c r="C15" s="73"/>
      <c r="D15" s="73"/>
      <c r="E15" s="73"/>
      <c r="F15" s="73"/>
      <c r="G15" s="73"/>
      <c r="H15" s="128" t="str">
        <f>"Cidade: "&amp;IFERROR(VLOOKUP(N3,Clientes!A:M,10,0),"")</f>
        <v>Cidade: Rio de janeiro</v>
      </c>
      <c r="I15" s="128"/>
      <c r="J15" s="129"/>
    </row>
    <row r="16" spans="1:20" x14ac:dyDescent="0.25">
      <c r="A16" s="66" t="s">
        <v>18</v>
      </c>
      <c r="B16" s="67"/>
      <c r="C16" s="67"/>
      <c r="D16" s="67"/>
      <c r="E16" s="67"/>
      <c r="F16" s="67"/>
      <c r="G16" s="67"/>
      <c r="H16" s="67"/>
      <c r="I16" s="67"/>
      <c r="J16" s="68"/>
    </row>
    <row r="17" spans="1:13" ht="15" customHeight="1" x14ac:dyDescent="0.25">
      <c r="A17" s="77" t="str">
        <f>"Nome: "&amp;IFERROR(VLOOKUP(N3,Clientes!A:M,11,0),"")</f>
        <v>Nome: Guilherme</v>
      </c>
      <c r="B17" s="78"/>
      <c r="C17" s="78"/>
      <c r="D17" s="78"/>
      <c r="E17" s="78"/>
      <c r="F17" s="78"/>
      <c r="G17" s="38"/>
      <c r="H17" s="73" t="str">
        <f>"Tel: "&amp;IFERROR(VLOOKUP(N3,Clientes!A:M,13,0),"")</f>
        <v>Tel: (21)972316945</v>
      </c>
      <c r="I17" s="73"/>
      <c r="J17" s="74"/>
    </row>
    <row r="18" spans="1:13" x14ac:dyDescent="0.25">
      <c r="A18" s="77" t="str">
        <f>"Email: "&amp;IFERROR(VLOOKUP(N3,Clientes!A:M,12,0),"")</f>
        <v>Email: guilherme@.com.br</v>
      </c>
      <c r="B18" s="78"/>
      <c r="C18" s="78"/>
      <c r="D18" s="78"/>
      <c r="E18" s="78"/>
      <c r="F18" s="78"/>
      <c r="G18" s="39"/>
      <c r="H18" s="16"/>
      <c r="I18" s="16"/>
      <c r="J18" s="40"/>
    </row>
    <row r="19" spans="1:13" x14ac:dyDescent="0.25">
      <c r="A19" s="66" t="s">
        <v>19</v>
      </c>
      <c r="B19" s="67"/>
      <c r="C19" s="67"/>
      <c r="D19" s="67"/>
      <c r="E19" s="67"/>
      <c r="F19" s="67"/>
      <c r="G19" s="67"/>
      <c r="H19" s="67"/>
      <c r="I19" s="67"/>
      <c r="J19" s="68"/>
    </row>
    <row r="20" spans="1:13" x14ac:dyDescent="0.25">
      <c r="A20" s="81" t="s">
        <v>3</v>
      </c>
      <c r="B20" s="82"/>
      <c r="C20" s="80" t="s">
        <v>4</v>
      </c>
      <c r="D20" s="80" t="s">
        <v>5</v>
      </c>
      <c r="E20" s="80"/>
      <c r="F20" s="80" t="s">
        <v>6</v>
      </c>
      <c r="G20" s="134" t="s">
        <v>41</v>
      </c>
      <c r="H20" s="130" t="s">
        <v>43</v>
      </c>
      <c r="I20" s="134" t="s">
        <v>8</v>
      </c>
      <c r="J20" s="135" t="s">
        <v>7</v>
      </c>
    </row>
    <row r="21" spans="1:13" x14ac:dyDescent="0.25">
      <c r="A21" s="81"/>
      <c r="B21" s="82"/>
      <c r="C21" s="80"/>
      <c r="D21" s="80"/>
      <c r="E21" s="80"/>
      <c r="F21" s="80"/>
      <c r="G21" s="80"/>
      <c r="H21" s="131"/>
      <c r="I21" s="134"/>
      <c r="J21" s="135"/>
    </row>
    <row r="22" spans="1:13" x14ac:dyDescent="0.25">
      <c r="A22" s="79" t="s">
        <v>60</v>
      </c>
      <c r="B22" s="79"/>
      <c r="C22" s="18">
        <v>3</v>
      </c>
      <c r="D22" s="13">
        <v>1</v>
      </c>
      <c r="E22" s="10" t="str">
        <f>IFERROR(IF(D22&gt;1,VLOOKUP(A22,Serviços!A:E,5,0),VLOOKUP(A22,Serviços!A:E,2,0)),"")</f>
        <v>Mês</v>
      </c>
      <c r="F22" s="11">
        <f>IFERROR(VLOOKUP(A22,Serviços!A:E,3,0),0)</f>
        <v>60000</v>
      </c>
      <c r="G22" s="19"/>
      <c r="H22" s="59">
        <f>F22-(F22*G22)</f>
        <v>60000</v>
      </c>
      <c r="I22" s="11">
        <f>H22*C22*D22</f>
        <v>180000</v>
      </c>
      <c r="J22" s="11">
        <f>IFERROR(VLOOKUP(A22,Serviços!A:E,4,0),0)*C22</f>
        <v>13500</v>
      </c>
      <c r="L22" s="54"/>
    </row>
    <row r="23" spans="1:13" x14ac:dyDescent="0.25">
      <c r="A23" s="79" t="s">
        <v>59</v>
      </c>
      <c r="B23" s="79"/>
      <c r="C23" s="18">
        <v>2</v>
      </c>
      <c r="D23" s="13">
        <v>2</v>
      </c>
      <c r="E23" s="10" t="str">
        <f>IFERROR(IF(D23&gt;1,VLOOKUP(A23,Serviços!A:E,5,0),VLOOKUP(A23,Serviços!A:E,2,0)),"")</f>
        <v>Meses</v>
      </c>
      <c r="F23" s="11">
        <f>IFERROR(VLOOKUP(A23,Serviços!A:E,3,0),0)</f>
        <v>100000</v>
      </c>
      <c r="G23" s="19"/>
      <c r="H23" s="59">
        <f t="shared" ref="H23:H27" si="0">F23-(F23*G23)</f>
        <v>100000</v>
      </c>
      <c r="I23" s="11">
        <f t="shared" ref="I23:I27" si="1">H23*C23*D23</f>
        <v>400000</v>
      </c>
      <c r="J23" s="11">
        <f>IFERROR(VLOOKUP(A23,Serviços!A:E,4,0),0)</f>
        <v>6000</v>
      </c>
      <c r="L23" s="54"/>
    </row>
    <row r="24" spans="1:13" x14ac:dyDescent="0.25">
      <c r="A24" s="79"/>
      <c r="B24" s="79"/>
      <c r="C24" s="18"/>
      <c r="D24" s="13"/>
      <c r="E24" s="10" t="str">
        <f>IFERROR(IF(D24&gt;1,VLOOKUP(A24,Serviços!A:E,5,0),VLOOKUP(A24,Serviços!A:E,2,0)),"")</f>
        <v/>
      </c>
      <c r="F24" s="11">
        <f>IFERROR(VLOOKUP(A24,Serviços!A:E,3,0),0)</f>
        <v>0</v>
      </c>
      <c r="G24" s="19"/>
      <c r="H24" s="59">
        <f t="shared" si="0"/>
        <v>0</v>
      </c>
      <c r="I24" s="11">
        <f t="shared" si="1"/>
        <v>0</v>
      </c>
      <c r="J24" s="11">
        <f>IFERROR(VLOOKUP(A24,Serviços!A:E,4,0),0)</f>
        <v>0</v>
      </c>
      <c r="L24" s="54"/>
      <c r="M24" s="132"/>
    </row>
    <row r="25" spans="1:13" x14ac:dyDescent="0.25">
      <c r="A25" s="79"/>
      <c r="B25" s="79"/>
      <c r="C25" s="18"/>
      <c r="D25" s="13"/>
      <c r="E25" s="10" t="str">
        <f>IFERROR(IF(D25&gt;1,VLOOKUP(A25,Serviços!A:E,5,0),VLOOKUP(A25,Serviços!A:E,2,0)),"")</f>
        <v/>
      </c>
      <c r="F25" s="11">
        <f>IFERROR(VLOOKUP(A25,Serviços!A:E,3,0),0)</f>
        <v>0</v>
      </c>
      <c r="G25" s="19"/>
      <c r="H25" s="59">
        <f t="shared" si="0"/>
        <v>0</v>
      </c>
      <c r="I25" s="11">
        <f t="shared" si="1"/>
        <v>0</v>
      </c>
      <c r="J25" s="11">
        <f>IFERROR(VLOOKUP(A25,Serviços!A:E,4,0),0)</f>
        <v>0</v>
      </c>
      <c r="M25" s="132"/>
    </row>
    <row r="26" spans="1:13" x14ac:dyDescent="0.25">
      <c r="A26" s="79"/>
      <c r="B26" s="79"/>
      <c r="C26" s="18"/>
      <c r="D26" s="13"/>
      <c r="E26" s="65" t="str">
        <f>IFERROR(IF(D26&gt;1,VLOOKUP(A26,Serviços!A:E,5,0),VLOOKUP(A26,Serviços!A:E,2,0)),"")</f>
        <v/>
      </c>
      <c r="F26" s="11">
        <f>IFERROR(VLOOKUP(A26,Serviços!A:E,3,0),0)</f>
        <v>0</v>
      </c>
      <c r="G26" s="19"/>
      <c r="H26" s="59">
        <f t="shared" si="0"/>
        <v>0</v>
      </c>
      <c r="I26" s="11">
        <f t="shared" si="1"/>
        <v>0</v>
      </c>
      <c r="J26" s="11">
        <f>IFERROR(VLOOKUP(A26,Serviços!A:E,4,0),0)</f>
        <v>0</v>
      </c>
      <c r="M26" s="132"/>
    </row>
    <row r="27" spans="1:13" x14ac:dyDescent="0.25">
      <c r="A27" s="79"/>
      <c r="B27" s="79"/>
      <c r="C27" s="18"/>
      <c r="D27" s="13"/>
      <c r="E27" s="65" t="str">
        <f>IFERROR(IF(D27&gt;1,VLOOKUP(A27,Serviços!A:E,5,0),VLOOKUP(A27,Serviços!A:E,2,0)),"")</f>
        <v/>
      </c>
      <c r="F27" s="11">
        <f>IFERROR(VLOOKUP(A27,Serviços!A:E,3,0),0)</f>
        <v>0</v>
      </c>
      <c r="G27" s="19"/>
      <c r="H27" s="59">
        <f t="shared" si="0"/>
        <v>0</v>
      </c>
      <c r="I27" s="11">
        <f t="shared" si="1"/>
        <v>0</v>
      </c>
      <c r="J27" s="11">
        <f>IFERROR(VLOOKUP(A27,Serviços!A:E,4,0),0)</f>
        <v>0</v>
      </c>
      <c r="M27" s="132"/>
    </row>
    <row r="28" spans="1:13" x14ac:dyDescent="0.25">
      <c r="B28" s="20"/>
      <c r="C28" s="20"/>
      <c r="D28" s="20"/>
      <c r="E28" s="20"/>
      <c r="F28" s="12"/>
      <c r="G28" s="20"/>
      <c r="H28" s="63" t="s">
        <v>44</v>
      </c>
      <c r="I28" s="55">
        <f>SUM(I22:I27)</f>
        <v>580000</v>
      </c>
      <c r="J28" s="56">
        <f>SUM(J22:J27)</f>
        <v>19500</v>
      </c>
      <c r="M28" s="132"/>
    </row>
    <row r="29" spans="1:13" x14ac:dyDescent="0.25">
      <c r="A29" s="60" t="s">
        <v>9</v>
      </c>
      <c r="B29" s="21"/>
      <c r="C29" s="21"/>
      <c r="D29" s="22"/>
      <c r="E29" s="22"/>
      <c r="F29" s="22"/>
      <c r="G29" s="22"/>
      <c r="H29" s="110">
        <f>SUM(I28:J28)</f>
        <v>599500</v>
      </c>
      <c r="I29" s="110"/>
      <c r="J29" s="111"/>
      <c r="M29" s="132"/>
    </row>
    <row r="30" spans="1:13" x14ac:dyDescent="0.25">
      <c r="A30" s="23"/>
      <c r="B30" s="24"/>
      <c r="C30" s="24"/>
      <c r="D30" s="24"/>
      <c r="E30" s="24"/>
      <c r="F30" s="24"/>
      <c r="G30" s="24"/>
      <c r="H30" s="24"/>
      <c r="I30" s="24"/>
      <c r="J30" s="25"/>
    </row>
    <row r="31" spans="1:13" ht="18" customHeight="1" x14ac:dyDescent="0.25">
      <c r="A31" s="61" t="s">
        <v>10</v>
      </c>
      <c r="B31" s="121" t="s">
        <v>53</v>
      </c>
      <c r="C31" s="121"/>
      <c r="D31" s="121"/>
      <c r="F31" s="62" t="s">
        <v>11</v>
      </c>
      <c r="G31" s="133">
        <v>44669</v>
      </c>
      <c r="H31" s="133"/>
      <c r="I31" s="62" t="s">
        <v>12</v>
      </c>
      <c r="J31" s="58">
        <v>44669</v>
      </c>
    </row>
    <row r="32" spans="1:13" x14ac:dyDescent="0.25">
      <c r="A32" s="112" t="s">
        <v>45</v>
      </c>
      <c r="B32" s="113"/>
      <c r="C32" s="113"/>
      <c r="D32" s="113"/>
      <c r="E32" s="113"/>
      <c r="F32" s="113"/>
      <c r="G32" s="113"/>
      <c r="H32" s="113"/>
      <c r="I32" s="113"/>
      <c r="J32" s="114"/>
    </row>
    <row r="33" spans="1:10" x14ac:dyDescent="0.25">
      <c r="A33" s="115"/>
      <c r="B33" s="116"/>
      <c r="C33" s="116"/>
      <c r="D33" s="116"/>
      <c r="E33" s="116"/>
      <c r="F33" s="116"/>
      <c r="G33" s="116"/>
      <c r="H33" s="116"/>
      <c r="I33" s="116"/>
      <c r="J33" s="117"/>
    </row>
    <row r="34" spans="1:10" x14ac:dyDescent="0.25">
      <c r="A34" s="120" t="s">
        <v>14</v>
      </c>
      <c r="B34" s="118"/>
      <c r="C34" s="118"/>
      <c r="D34" s="118"/>
      <c r="E34" s="118"/>
      <c r="F34" s="118" t="s">
        <v>13</v>
      </c>
      <c r="G34" s="118"/>
      <c r="H34" s="118"/>
      <c r="I34" s="118"/>
      <c r="J34" s="119"/>
    </row>
    <row r="35" spans="1:10" x14ac:dyDescent="0.25">
      <c r="A35" s="95" t="s">
        <v>97</v>
      </c>
      <c r="B35" s="96"/>
      <c r="C35" s="96"/>
      <c r="D35" s="96"/>
      <c r="E35" s="97"/>
      <c r="F35" s="86"/>
      <c r="G35" s="87"/>
      <c r="H35" s="87"/>
      <c r="I35" s="87"/>
      <c r="J35" s="88"/>
    </row>
    <row r="36" spans="1:10" x14ac:dyDescent="0.25">
      <c r="A36" s="98"/>
      <c r="B36" s="99"/>
      <c r="C36" s="99"/>
      <c r="D36" s="99"/>
      <c r="E36" s="100"/>
      <c r="F36" s="89"/>
      <c r="G36" s="90"/>
      <c r="H36" s="90"/>
      <c r="I36" s="90"/>
      <c r="J36" s="91"/>
    </row>
    <row r="37" spans="1:10" x14ac:dyDescent="0.25">
      <c r="A37" s="101"/>
      <c r="B37" s="102"/>
      <c r="C37" s="102"/>
      <c r="D37" s="102"/>
      <c r="E37" s="103"/>
      <c r="F37" s="92"/>
      <c r="G37" s="93"/>
      <c r="H37" s="93"/>
      <c r="I37" s="93"/>
      <c r="J37" s="94"/>
    </row>
    <row r="38" spans="1:10" x14ac:dyDescent="0.25">
      <c r="A38" s="104" t="s">
        <v>98</v>
      </c>
      <c r="B38" s="105"/>
      <c r="C38" s="105"/>
      <c r="D38" s="105"/>
      <c r="E38" s="105"/>
      <c r="F38" s="105"/>
      <c r="G38" s="105"/>
      <c r="H38" s="105"/>
      <c r="I38" s="105"/>
      <c r="J38" s="106"/>
    </row>
    <row r="39" spans="1:10" x14ac:dyDescent="0.25">
      <c r="A39" s="107"/>
      <c r="B39" s="108"/>
      <c r="C39" s="108"/>
      <c r="D39" s="108"/>
      <c r="E39" s="108"/>
      <c r="F39" s="108"/>
      <c r="G39" s="108"/>
      <c r="H39" s="108"/>
      <c r="I39" s="108"/>
      <c r="J39" s="109"/>
    </row>
    <row r="40" spans="1:10" x14ac:dyDescent="0.25">
      <c r="A40" s="26"/>
      <c r="B40" s="27"/>
      <c r="C40" s="27"/>
      <c r="D40" s="27"/>
      <c r="E40" s="27"/>
      <c r="F40" s="27"/>
      <c r="G40" s="27"/>
      <c r="H40" s="27"/>
      <c r="I40" s="27"/>
      <c r="J40" s="28"/>
    </row>
    <row r="41" spans="1:10" ht="15" customHeight="1" x14ac:dyDescent="0.25">
      <c r="A41" s="83" t="str">
        <f ca="1">_xlfn.CONCAT("Rio de Janeiro, ",TEXT(TODAY(),"DD "),"de ",TEXT(TODAY(),"MMMM "),"de ",TEXT(TODAY(),"AAAA"))</f>
        <v>Rio de Janeiro, 08 de agosto de 2022</v>
      </c>
      <c r="B41" s="84"/>
      <c r="C41" s="84"/>
      <c r="D41" s="84"/>
      <c r="E41" s="84"/>
      <c r="F41" s="84"/>
      <c r="G41" s="84"/>
      <c r="H41" s="84"/>
      <c r="I41" s="84"/>
      <c r="J41" s="85"/>
    </row>
    <row r="42" spans="1:10" x14ac:dyDescent="0.25">
      <c r="A42" s="29"/>
      <c r="B42" s="20"/>
      <c r="C42" s="20"/>
      <c r="D42" s="20"/>
      <c r="E42" s="20"/>
      <c r="F42" s="20"/>
      <c r="G42" s="20"/>
      <c r="H42" s="30"/>
      <c r="I42" s="30"/>
      <c r="J42" s="31"/>
    </row>
    <row r="43" spans="1:10" x14ac:dyDescent="0.25">
      <c r="A43" s="29"/>
      <c r="B43" s="20"/>
      <c r="C43" s="20"/>
      <c r="D43" s="20"/>
      <c r="E43" s="20"/>
      <c r="F43" s="20"/>
      <c r="G43" s="20"/>
      <c r="H43" s="30"/>
      <c r="I43" s="30"/>
      <c r="J43" s="31"/>
    </row>
    <row r="44" spans="1:10" x14ac:dyDescent="0.25">
      <c r="A44" s="29"/>
      <c r="B44" s="20"/>
      <c r="C44" s="20"/>
      <c r="D44" s="20"/>
      <c r="E44" s="20"/>
      <c r="F44" s="20"/>
      <c r="G44" s="20"/>
      <c r="H44" s="30"/>
      <c r="I44" s="30"/>
      <c r="J44" s="31"/>
    </row>
    <row r="45" spans="1:10" x14ac:dyDescent="0.25">
      <c r="A45" s="29"/>
      <c r="B45" s="32"/>
      <c r="C45" s="32"/>
      <c r="D45" s="32"/>
      <c r="E45" s="20"/>
      <c r="F45" s="32"/>
      <c r="G45" s="32"/>
      <c r="H45" s="32"/>
      <c r="I45" s="32"/>
      <c r="J45" s="33"/>
    </row>
    <row r="46" spans="1:10" x14ac:dyDescent="0.25">
      <c r="A46" s="29"/>
      <c r="B46" s="32"/>
      <c r="C46" s="32"/>
      <c r="D46" s="32"/>
      <c r="E46" s="20"/>
      <c r="F46" s="32"/>
      <c r="G46" s="32"/>
      <c r="H46" s="32"/>
      <c r="I46" s="32"/>
      <c r="J46" s="34"/>
    </row>
    <row r="47" spans="1:10" x14ac:dyDescent="0.25">
      <c r="A47" s="35"/>
      <c r="B47" s="36"/>
      <c r="C47" s="36"/>
      <c r="D47" s="36"/>
      <c r="E47" s="17"/>
      <c r="F47" s="36"/>
      <c r="G47" s="36"/>
      <c r="H47" s="36"/>
      <c r="I47" s="36"/>
      <c r="J47" s="37"/>
    </row>
    <row r="51" spans="10:10" x14ac:dyDescent="0.25">
      <c r="J51" s="5"/>
    </row>
  </sheetData>
  <sheetProtection sheet="1" selectLockedCells="1"/>
  <mergeCells count="52">
    <mergeCell ref="H20:H21"/>
    <mergeCell ref="M24:M25"/>
    <mergeCell ref="M26:M27"/>
    <mergeCell ref="M28:M29"/>
    <mergeCell ref="G31:H31"/>
    <mergeCell ref="I20:I21"/>
    <mergeCell ref="J20:J21"/>
    <mergeCell ref="G20:G21"/>
    <mergeCell ref="L3:M3"/>
    <mergeCell ref="N3:O3"/>
    <mergeCell ref="L2:O2"/>
    <mergeCell ref="A9:J9"/>
    <mergeCell ref="A15:G15"/>
    <mergeCell ref="H12:J12"/>
    <mergeCell ref="H13:J13"/>
    <mergeCell ref="H14:J14"/>
    <mergeCell ref="H15:J15"/>
    <mergeCell ref="A2:J2"/>
    <mergeCell ref="A24:B24"/>
    <mergeCell ref="A25:B25"/>
    <mergeCell ref="A26:B26"/>
    <mergeCell ref="A27:B27"/>
    <mergeCell ref="A34:E34"/>
    <mergeCell ref="B31:D31"/>
    <mergeCell ref="A41:J41"/>
    <mergeCell ref="F35:J37"/>
    <mergeCell ref="A35:E37"/>
    <mergeCell ref="A38:J39"/>
    <mergeCell ref="H29:J29"/>
    <mergeCell ref="A32:J33"/>
    <mergeCell ref="F34:J34"/>
    <mergeCell ref="A22:B22"/>
    <mergeCell ref="A23:B23"/>
    <mergeCell ref="C20:C21"/>
    <mergeCell ref="D20:E21"/>
    <mergeCell ref="F20:F21"/>
    <mergeCell ref="A20:B21"/>
    <mergeCell ref="A19:J19"/>
    <mergeCell ref="A3:J3"/>
    <mergeCell ref="A8:F8"/>
    <mergeCell ref="A7:F7"/>
    <mergeCell ref="A5:J5"/>
    <mergeCell ref="A6:F6"/>
    <mergeCell ref="A10:J10"/>
    <mergeCell ref="A11:J11"/>
    <mergeCell ref="A12:G12"/>
    <mergeCell ref="A14:G14"/>
    <mergeCell ref="H4:J4"/>
    <mergeCell ref="A17:F17"/>
    <mergeCell ref="A18:F18"/>
    <mergeCell ref="H17:J17"/>
    <mergeCell ref="A16:J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4EFA47-B275-41DD-9F00-3A20D768F126}">
          <x14:formula1>
            <xm:f>Serviços!$A$2:$A$29</xm:f>
          </x14:formula1>
          <xm:sqref>A22:B27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87582-4A30-49CA-82EB-775E2B514260}">
  <sheetPr codeName="Planilha2"/>
  <dimension ref="A1:M5"/>
  <sheetViews>
    <sheetView zoomScale="80" zoomScaleNormal="80" workbookViewId="0">
      <selection activeCell="F9" sqref="F9"/>
    </sheetView>
  </sheetViews>
  <sheetFormatPr defaultRowHeight="15" x14ac:dyDescent="0.25"/>
  <cols>
    <col min="1" max="1" width="16.85546875" bestFit="1" customWidth="1"/>
    <col min="2" max="2" width="40.42578125" bestFit="1" customWidth="1"/>
    <col min="3" max="3" width="18" bestFit="1" customWidth="1"/>
    <col min="4" max="4" width="26.85546875" bestFit="1" customWidth="1"/>
    <col min="5" max="5" width="26.5703125" bestFit="1" customWidth="1"/>
    <col min="6" max="6" width="18.5703125" bestFit="1" customWidth="1"/>
    <col min="7" max="7" width="13.7109375" bestFit="1" customWidth="1"/>
    <col min="8" max="8" width="10.5703125" bestFit="1" customWidth="1"/>
    <col min="9" max="9" width="6.28515625" bestFit="1" customWidth="1"/>
    <col min="10" max="10" width="13.42578125" bestFit="1" customWidth="1"/>
    <col min="11" max="11" width="18.5703125" bestFit="1" customWidth="1"/>
    <col min="12" max="12" width="26.42578125" bestFit="1" customWidth="1"/>
    <col min="13" max="13" width="21.28515625" bestFit="1" customWidth="1"/>
  </cols>
  <sheetData>
    <row r="1" spans="1:13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36</v>
      </c>
      <c r="G1" t="s">
        <v>38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</row>
    <row r="2" spans="1:13" ht="35.25" customHeight="1" x14ac:dyDescent="0.25">
      <c r="A2" s="7" t="s">
        <v>86</v>
      </c>
      <c r="B2" s="7" t="s">
        <v>89</v>
      </c>
      <c r="C2" s="7">
        <v>11111111111</v>
      </c>
      <c r="D2" s="8" t="s">
        <v>92</v>
      </c>
      <c r="E2" s="9" t="s">
        <v>93</v>
      </c>
      <c r="F2" s="7" t="s">
        <v>94</v>
      </c>
      <c r="G2" s="7" t="s">
        <v>95</v>
      </c>
      <c r="H2" s="7">
        <v>2271000</v>
      </c>
      <c r="I2" s="7" t="s">
        <v>15</v>
      </c>
      <c r="J2" s="7" t="s">
        <v>37</v>
      </c>
      <c r="K2" s="7" t="s">
        <v>86</v>
      </c>
      <c r="L2" s="8" t="s">
        <v>96</v>
      </c>
      <c r="M2" s="7" t="s">
        <v>16</v>
      </c>
    </row>
    <row r="3" spans="1:13" x14ac:dyDescent="0.25">
      <c r="A3" t="s">
        <v>87</v>
      </c>
      <c r="B3" t="s">
        <v>90</v>
      </c>
      <c r="J3" s="7"/>
      <c r="L3" s="64"/>
      <c r="M3" t="s">
        <v>52</v>
      </c>
    </row>
    <row r="4" spans="1:13" x14ac:dyDescent="0.25">
      <c r="A4" t="s">
        <v>88</v>
      </c>
      <c r="B4" t="s">
        <v>91</v>
      </c>
      <c r="D4" s="64"/>
      <c r="L4" s="64"/>
      <c r="M4" t="s">
        <v>54</v>
      </c>
    </row>
    <row r="5" spans="1:13" x14ac:dyDescent="0.25">
      <c r="M5" t="s">
        <v>55</v>
      </c>
    </row>
  </sheetData>
  <hyperlinks>
    <hyperlink ref="D2" r:id="rId1" xr:uid="{FDDFCF5C-4EBB-470C-ADB7-031439A4B002}"/>
    <hyperlink ref="L2" r:id="rId2" xr:uid="{EBF4DA14-9B59-41CA-BE4F-0363483CB606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F5C-D25C-4D40-81DC-4CA3B874B601}">
  <sheetPr codeName="Planilha3"/>
  <dimension ref="A1:E32"/>
  <sheetViews>
    <sheetView workbookViewId="0">
      <selection activeCell="G34" sqref="G34"/>
    </sheetView>
  </sheetViews>
  <sheetFormatPr defaultRowHeight="15" x14ac:dyDescent="0.25"/>
  <cols>
    <col min="1" max="1" width="30.5703125" bestFit="1" customWidth="1"/>
    <col min="2" max="2" width="10.85546875" customWidth="1"/>
    <col min="3" max="3" width="16.5703125" customWidth="1"/>
    <col min="4" max="4" width="13.85546875" customWidth="1"/>
  </cols>
  <sheetData>
    <row r="1" spans="1:5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</row>
    <row r="2" spans="1:5" x14ac:dyDescent="0.25">
      <c r="A2" t="s">
        <v>58</v>
      </c>
      <c r="B2" t="s">
        <v>49</v>
      </c>
      <c r="C2" s="6">
        <v>242000</v>
      </c>
      <c r="D2" s="57">
        <v>6000</v>
      </c>
      <c r="E2" t="s">
        <v>46</v>
      </c>
    </row>
    <row r="3" spans="1:5" x14ac:dyDescent="0.25">
      <c r="A3" t="s">
        <v>59</v>
      </c>
      <c r="B3" t="s">
        <v>49</v>
      </c>
      <c r="C3" s="6">
        <v>100000</v>
      </c>
      <c r="D3" s="57">
        <v>6000</v>
      </c>
      <c r="E3" t="s">
        <v>46</v>
      </c>
    </row>
    <row r="4" spans="1:5" x14ac:dyDescent="0.25">
      <c r="A4" t="s">
        <v>60</v>
      </c>
      <c r="B4" t="s">
        <v>49</v>
      </c>
      <c r="C4" s="6">
        <v>60000</v>
      </c>
      <c r="D4" s="57">
        <v>4500</v>
      </c>
      <c r="E4" t="s">
        <v>46</v>
      </c>
    </row>
    <row r="5" spans="1:5" x14ac:dyDescent="0.25">
      <c r="A5" t="s">
        <v>61</v>
      </c>
      <c r="B5" t="s">
        <v>50</v>
      </c>
      <c r="C5" s="6">
        <v>8000</v>
      </c>
      <c r="D5" s="57">
        <v>0</v>
      </c>
      <c r="E5" t="s">
        <v>47</v>
      </c>
    </row>
    <row r="6" spans="1:5" x14ac:dyDescent="0.25">
      <c r="A6" t="s">
        <v>62</v>
      </c>
      <c r="B6" t="s">
        <v>49</v>
      </c>
      <c r="C6" s="6">
        <v>115000</v>
      </c>
      <c r="D6" s="57">
        <v>4500</v>
      </c>
      <c r="E6" t="s">
        <v>46</v>
      </c>
    </row>
    <row r="7" spans="1:5" x14ac:dyDescent="0.25">
      <c r="A7" t="s">
        <v>63</v>
      </c>
      <c r="B7" t="s">
        <v>49</v>
      </c>
      <c r="C7" s="6">
        <v>1850</v>
      </c>
      <c r="D7" s="57">
        <v>100</v>
      </c>
      <c r="E7" t="s">
        <v>46</v>
      </c>
    </row>
    <row r="8" spans="1:5" x14ac:dyDescent="0.25">
      <c r="A8" t="s">
        <v>64</v>
      </c>
      <c r="B8" t="s">
        <v>50</v>
      </c>
      <c r="C8" s="6">
        <v>2500</v>
      </c>
      <c r="D8" s="57">
        <v>0</v>
      </c>
      <c r="E8" t="s">
        <v>47</v>
      </c>
    </row>
    <row r="9" spans="1:5" x14ac:dyDescent="0.25">
      <c r="A9" t="s">
        <v>65</v>
      </c>
      <c r="B9" t="s">
        <v>50</v>
      </c>
      <c r="C9" s="6">
        <v>6500</v>
      </c>
      <c r="D9" s="57">
        <v>450</v>
      </c>
      <c r="E9" t="s">
        <v>47</v>
      </c>
    </row>
    <row r="10" spans="1:5" x14ac:dyDescent="0.25">
      <c r="A10" t="s">
        <v>66</v>
      </c>
      <c r="B10" t="s">
        <v>51</v>
      </c>
      <c r="C10" s="6">
        <v>1500</v>
      </c>
      <c r="D10" s="57">
        <v>0</v>
      </c>
      <c r="E10" t="s">
        <v>48</v>
      </c>
    </row>
    <row r="11" spans="1:5" x14ac:dyDescent="0.25">
      <c r="A11" t="s">
        <v>67</v>
      </c>
      <c r="B11" t="s">
        <v>50</v>
      </c>
      <c r="C11" s="6">
        <v>7000</v>
      </c>
      <c r="D11" s="57">
        <v>600</v>
      </c>
      <c r="E11" t="s">
        <v>47</v>
      </c>
    </row>
    <row r="12" spans="1:5" x14ac:dyDescent="0.25">
      <c r="A12" t="s">
        <v>68</v>
      </c>
      <c r="B12" t="s">
        <v>49</v>
      </c>
      <c r="C12" s="6">
        <v>1100</v>
      </c>
      <c r="D12" s="57">
        <v>0</v>
      </c>
      <c r="E12" t="s">
        <v>46</v>
      </c>
    </row>
    <row r="13" spans="1:5" x14ac:dyDescent="0.25">
      <c r="A13" t="s">
        <v>69</v>
      </c>
      <c r="B13" t="s">
        <v>50</v>
      </c>
      <c r="C13" s="6">
        <v>1200</v>
      </c>
      <c r="D13" s="57">
        <v>150</v>
      </c>
      <c r="E13" t="s">
        <v>47</v>
      </c>
    </row>
    <row r="14" spans="1:5" x14ac:dyDescent="0.25">
      <c r="A14" t="s">
        <v>70</v>
      </c>
      <c r="B14" t="s">
        <v>50</v>
      </c>
      <c r="C14" s="6">
        <v>1450</v>
      </c>
      <c r="D14" s="57">
        <v>60</v>
      </c>
      <c r="E14" t="s">
        <v>47</v>
      </c>
    </row>
    <row r="15" spans="1:5" x14ac:dyDescent="0.25">
      <c r="A15" t="s">
        <v>71</v>
      </c>
      <c r="B15" t="s">
        <v>50</v>
      </c>
      <c r="C15" s="6">
        <v>2500</v>
      </c>
      <c r="D15" s="57">
        <v>60</v>
      </c>
      <c r="E15" t="s">
        <v>47</v>
      </c>
    </row>
    <row r="16" spans="1:5" x14ac:dyDescent="0.25">
      <c r="A16" t="s">
        <v>72</v>
      </c>
      <c r="B16" t="s">
        <v>50</v>
      </c>
      <c r="C16" s="6">
        <v>2200</v>
      </c>
      <c r="D16" s="57">
        <v>150</v>
      </c>
      <c r="E16" t="s">
        <v>47</v>
      </c>
    </row>
    <row r="17" spans="1:5" x14ac:dyDescent="0.25">
      <c r="A17" t="s">
        <v>73</v>
      </c>
      <c r="B17" t="s">
        <v>50</v>
      </c>
      <c r="C17" s="6">
        <v>1100</v>
      </c>
      <c r="D17" s="57">
        <v>120</v>
      </c>
      <c r="E17" t="s">
        <v>47</v>
      </c>
    </row>
    <row r="18" spans="1:5" x14ac:dyDescent="0.25">
      <c r="A18" t="s">
        <v>74</v>
      </c>
      <c r="B18" t="s">
        <v>49</v>
      </c>
      <c r="C18" s="6">
        <v>6500</v>
      </c>
      <c r="D18" s="57">
        <v>0</v>
      </c>
      <c r="E18" t="s">
        <v>46</v>
      </c>
    </row>
    <row r="19" spans="1:5" x14ac:dyDescent="0.25">
      <c r="A19" t="s">
        <v>75</v>
      </c>
      <c r="B19" t="s">
        <v>49</v>
      </c>
      <c r="C19" s="6">
        <v>7500</v>
      </c>
      <c r="D19" s="57">
        <v>0</v>
      </c>
      <c r="E19" t="s">
        <v>46</v>
      </c>
    </row>
    <row r="20" spans="1:5" x14ac:dyDescent="0.25">
      <c r="A20" t="s">
        <v>76</v>
      </c>
      <c r="B20" t="s">
        <v>49</v>
      </c>
      <c r="C20" s="6">
        <v>7500</v>
      </c>
      <c r="D20" s="57">
        <v>0</v>
      </c>
      <c r="E20" t="s">
        <v>46</v>
      </c>
    </row>
    <row r="21" spans="1:5" x14ac:dyDescent="0.25">
      <c r="A21" t="s">
        <v>77</v>
      </c>
      <c r="B21" t="s">
        <v>49</v>
      </c>
      <c r="C21" s="6">
        <v>7500</v>
      </c>
      <c r="D21" s="57">
        <v>0</v>
      </c>
      <c r="E21" t="s">
        <v>46</v>
      </c>
    </row>
    <row r="22" spans="1:5" x14ac:dyDescent="0.25">
      <c r="A22" t="s">
        <v>78</v>
      </c>
      <c r="B22" t="s">
        <v>49</v>
      </c>
      <c r="C22" s="6">
        <v>7500</v>
      </c>
      <c r="D22" s="57">
        <v>0</v>
      </c>
      <c r="E22" t="s">
        <v>46</v>
      </c>
    </row>
    <row r="23" spans="1:5" x14ac:dyDescent="0.25">
      <c r="A23" t="s">
        <v>79</v>
      </c>
      <c r="B23" t="s">
        <v>49</v>
      </c>
      <c r="C23" s="6">
        <v>3000</v>
      </c>
      <c r="D23" s="57">
        <v>0</v>
      </c>
      <c r="E23" t="s">
        <v>46</v>
      </c>
    </row>
    <row r="24" spans="1:5" x14ac:dyDescent="0.25">
      <c r="A24" t="s">
        <v>80</v>
      </c>
      <c r="B24" t="s">
        <v>49</v>
      </c>
      <c r="C24" s="6">
        <v>600</v>
      </c>
      <c r="D24" s="57">
        <v>0</v>
      </c>
      <c r="E24" t="s">
        <v>46</v>
      </c>
    </row>
    <row r="25" spans="1:5" x14ac:dyDescent="0.25">
      <c r="A25" t="s">
        <v>81</v>
      </c>
      <c r="B25" t="s">
        <v>49</v>
      </c>
      <c r="C25" s="6">
        <v>1700</v>
      </c>
      <c r="D25" s="57">
        <v>0</v>
      </c>
      <c r="E25" t="s">
        <v>46</v>
      </c>
    </row>
    <row r="26" spans="1:5" x14ac:dyDescent="0.25">
      <c r="A26" t="s">
        <v>82</v>
      </c>
      <c r="B26" t="s">
        <v>49</v>
      </c>
      <c r="C26" s="6">
        <v>3000</v>
      </c>
      <c r="D26" s="57">
        <v>0</v>
      </c>
      <c r="E26" t="s">
        <v>46</v>
      </c>
    </row>
    <row r="27" spans="1:5" x14ac:dyDescent="0.25">
      <c r="A27" t="s">
        <v>83</v>
      </c>
      <c r="B27" t="s">
        <v>49</v>
      </c>
      <c r="C27" s="6">
        <v>600</v>
      </c>
      <c r="D27" s="57">
        <v>0</v>
      </c>
      <c r="E27" t="s">
        <v>46</v>
      </c>
    </row>
    <row r="28" spans="1:5" x14ac:dyDescent="0.25">
      <c r="A28" t="s">
        <v>84</v>
      </c>
      <c r="B28" t="s">
        <v>49</v>
      </c>
      <c r="C28" s="6">
        <v>1700</v>
      </c>
      <c r="D28" s="57">
        <v>0</v>
      </c>
      <c r="E28" t="s">
        <v>46</v>
      </c>
    </row>
    <row r="29" spans="1:5" x14ac:dyDescent="0.25">
      <c r="A29" t="s">
        <v>85</v>
      </c>
      <c r="B29" t="s">
        <v>56</v>
      </c>
      <c r="C29" s="6">
        <v>5000</v>
      </c>
      <c r="D29" s="57">
        <v>0</v>
      </c>
      <c r="E29" t="s">
        <v>57</v>
      </c>
    </row>
    <row r="30" spans="1:5" x14ac:dyDescent="0.25">
      <c r="C30" s="6"/>
      <c r="D30" s="57"/>
    </row>
    <row r="31" spans="1:5" x14ac:dyDescent="0.25">
      <c r="C31" s="6"/>
      <c r="D31" s="57"/>
    </row>
    <row r="32" spans="1:5" x14ac:dyDescent="0.25">
      <c r="C32" s="6"/>
      <c r="D32" s="57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PI</vt:lpstr>
      <vt:lpstr>Clientes</vt:lpstr>
      <vt:lpstr>Serviços</vt:lpstr>
      <vt:lpstr>PI!Area_de_impressao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Gui_DS</dc:creator>
  <cp:lastModifiedBy>Gui_DS</cp:lastModifiedBy>
  <cp:lastPrinted>2022-04-11T16:30:12Z</cp:lastPrinted>
  <dcterms:created xsi:type="dcterms:W3CDTF">2022-04-10T15:56:19Z</dcterms:created>
  <dcterms:modified xsi:type="dcterms:W3CDTF">2022-08-08T14:20:28Z</dcterms:modified>
</cp:coreProperties>
</file>